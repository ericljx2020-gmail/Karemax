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Work\wechat\WXWork\1688850709768123\WeDrive\上海昶懋实业有限公司\service01\Mayor de Insumos Alpha &amp; Omega, C.A\KM24MAO1022S\报关资料\柜3 上海 05.01.26 报关资料\"/>
    </mc:Choice>
  </mc:AlternateContent>
  <xr:revisionPtr revIDLastSave="0" documentId="13_ncr:1_{060F5B2C-9A13-4132-B0D8-B36C641D8743}" xr6:coauthVersionLast="47" xr6:coauthVersionMax="47" xr10:uidLastSave="{00000000-0000-0000-0000-000000000000}"/>
  <bookViews>
    <workbookView xWindow="3105" yWindow="3840" windowWidth="21600" windowHeight="11385" xr2:uid="{00000000-000D-0000-FFFF-FFFF00000000}"/>
  </bookViews>
  <sheets>
    <sheet name="出口报关单" sheetId="2" r:id="rId1"/>
  </sheets>
  <definedNames>
    <definedName name="_xlnm.Print_Area" localSheetId="0">出口报关单!$A$1:$Q$36</definedName>
  </definedNames>
  <calcPr calcId="191029"/>
</workbook>
</file>

<file path=xl/calcChain.xml><?xml version="1.0" encoding="utf-8"?>
<calcChain xmlns="http://schemas.openxmlformats.org/spreadsheetml/2006/main">
  <c r="H29" i="2" l="1"/>
  <c r="H19" i="2"/>
  <c r="H20" i="2"/>
  <c r="H21" i="2"/>
  <c r="H22" i="2"/>
  <c r="H23" i="2"/>
  <c r="H24" i="2"/>
  <c r="H25" i="2"/>
  <c r="H26" i="2"/>
  <c r="H27" i="2"/>
  <c r="H28" i="2"/>
  <c r="H18" i="2" l="1"/>
  <c r="Q24" i="2" l="1"/>
</calcChain>
</file>

<file path=xl/sharedStrings.xml><?xml version="1.0" encoding="utf-8"?>
<sst xmlns="http://schemas.openxmlformats.org/spreadsheetml/2006/main" count="176" uniqueCount="101">
  <si>
    <t>中华人民共和国海关出口货物报关单</t>
  </si>
  <si>
    <t xml:space="preserve"> </t>
  </si>
  <si>
    <t>预录入编号：</t>
  </si>
  <si>
    <t>海关编号：</t>
  </si>
  <si>
    <t>境内发货人</t>
  </si>
  <si>
    <t>出境关别</t>
  </si>
  <si>
    <t>出口日期</t>
  </si>
  <si>
    <t>申报日期</t>
  </si>
  <si>
    <t>备案号</t>
  </si>
  <si>
    <t>上海昶懋实业有限公司</t>
  </si>
  <si>
    <t>境外收货人</t>
  </si>
  <si>
    <t>运输方式</t>
  </si>
  <si>
    <t>运输工具名称及航次号</t>
  </si>
  <si>
    <t>提运单号</t>
  </si>
  <si>
    <t>生产销售单位</t>
  </si>
  <si>
    <t>监管方式</t>
  </si>
  <si>
    <t>征免性质</t>
  </si>
  <si>
    <t>许可证</t>
  </si>
  <si>
    <t>一般贸易</t>
  </si>
  <si>
    <t>合同协议号</t>
  </si>
  <si>
    <t>贸易国(地区)</t>
  </si>
  <si>
    <t>运抵国(地区)</t>
  </si>
  <si>
    <t>指运港</t>
  </si>
  <si>
    <t>离境口岸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</si>
  <si>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</si>
  <si>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</si>
  <si>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</si>
  <si>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</si>
  <si>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</si>
  <si>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</si>
  <si>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</si>
  <si>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</si>
  <si>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纸箱</t>
  </si>
  <si>
    <t>随附单证</t>
  </si>
  <si>
    <t>随附单证1：</t>
  </si>
  <si>
    <t>随附单证2：合同；发票；装箱单</t>
  </si>
  <si>
    <t>标记唛码及备注</t>
  </si>
  <si>
    <t>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</si>
  <si>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</si>
  <si>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</si>
  <si>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</si>
  <si>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</si>
  <si>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</si>
  <si>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</si>
  <si>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</si>
  <si>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</si>
  <si>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 xml:space="preserve"> USD</t>
  </si>
  <si>
    <t>中国</t>
  </si>
  <si>
    <t>照章征税</t>
  </si>
  <si>
    <t>特殊关系确认：</t>
  </si>
  <si>
    <t>否</t>
  </si>
  <si>
    <t>价格影响确认：</t>
  </si>
  <si>
    <t>支付特许权使用费确认：</t>
  </si>
  <si>
    <t>自报自缴：</t>
  </si>
  <si>
    <t>是</t>
  </si>
  <si>
    <t>报关人员        报关人员证号            电话</t>
  </si>
  <si>
    <t>兹申明对以上内容承担如实申报、依法纳税责任</t>
  </si>
  <si>
    <t>海关批注及签章</t>
  </si>
  <si>
    <t>申报单位</t>
  </si>
  <si>
    <t>申报单位(签章)</t>
  </si>
  <si>
    <t>报关单、备案清单版式由竖版改为横版，纸质单证全部采用普通打印方式，取消套打，不在印制空白格式单证.</t>
  </si>
  <si>
    <t>MAYOR DE INSUMOS ALPHA&amp; OMEGA C.A.</t>
    <phoneticPr fontId="7" type="noConversion"/>
  </si>
  <si>
    <t>委内瑞拉</t>
    <phoneticPr fontId="7" type="noConversion"/>
  </si>
  <si>
    <t>马拉开波</t>
    <phoneticPr fontId="7" type="noConversion"/>
  </si>
  <si>
    <t>海运</t>
    <phoneticPr fontId="7" type="noConversion"/>
  </si>
  <si>
    <t>美国</t>
    <phoneticPr fontId="7" type="noConversion"/>
  </si>
  <si>
    <t>CIF</t>
    <phoneticPr fontId="7" type="noConversion"/>
  </si>
  <si>
    <t>个</t>
    <phoneticPr fontId="9" type="noConversion"/>
  </si>
  <si>
    <t>千克</t>
    <phoneticPr fontId="9" type="noConversion"/>
  </si>
  <si>
    <t>VE24MAO1022S-3</t>
    <phoneticPr fontId="7" type="noConversion"/>
  </si>
  <si>
    <t>医用一次性口罩</t>
    <phoneticPr fontId="9" type="noConversion"/>
  </si>
  <si>
    <t xml:space="preserve">造口袋 </t>
    <phoneticPr fontId="9" type="noConversion"/>
  </si>
  <si>
    <t>带线缝合针</t>
    <phoneticPr fontId="9" type="noConversion"/>
  </si>
  <si>
    <t>灭菌纱布片</t>
    <phoneticPr fontId="9" type="noConversion"/>
  </si>
  <si>
    <t>弹性绷带</t>
    <phoneticPr fontId="9" type="noConversion"/>
  </si>
  <si>
    <t>乳胶双腔导尿管</t>
    <phoneticPr fontId="9" type="noConversion"/>
  </si>
  <si>
    <t>手术刀片</t>
    <phoneticPr fontId="9" type="noConversion"/>
  </si>
  <si>
    <t>切片机专用刀片</t>
    <phoneticPr fontId="9" type="noConversion"/>
  </si>
  <si>
    <t>医用电极片</t>
    <phoneticPr fontId="9" type="noConversion"/>
  </si>
  <si>
    <t>纱布腹部垫</t>
    <phoneticPr fontId="9" type="noConversion"/>
  </si>
  <si>
    <t>吸痰管</t>
    <phoneticPr fontId="9" type="noConversion"/>
  </si>
  <si>
    <t>千克</t>
  </si>
  <si>
    <t>千克</t>
    <phoneticPr fontId="7" type="noConversion"/>
  </si>
  <si>
    <t>卷</t>
  </si>
  <si>
    <t>台</t>
  </si>
  <si>
    <t>盒</t>
    <phoneticPr fontId="9" type="noConversion"/>
  </si>
  <si>
    <t>台</t>
    <phoneticPr fontId="7" type="noConversion"/>
  </si>
  <si>
    <t>个</t>
    <phoneticPr fontId="7" type="noConversion"/>
  </si>
  <si>
    <t>8763 USD</t>
    <phoneticPr fontId="7" type="noConversion"/>
  </si>
  <si>
    <t>80 USD</t>
    <phoneticPr fontId="7" type="noConversion"/>
  </si>
  <si>
    <t>湖北仙桃其他</t>
    <phoneticPr fontId="7" type="noConversion"/>
  </si>
  <si>
    <t>浙江金华其他</t>
    <phoneticPr fontId="7" type="noConversion"/>
  </si>
  <si>
    <t>广东湛江其他</t>
    <phoneticPr fontId="7" type="noConversion"/>
  </si>
  <si>
    <t>江苏盐城其他</t>
    <phoneticPr fontId="7" type="noConversion"/>
  </si>
  <si>
    <t>江西九江其他</t>
    <phoneticPr fontId="7" type="noConversion"/>
  </si>
  <si>
    <t>江苏常州其他</t>
    <phoneticPr fontId="7" type="noConversion"/>
  </si>
  <si>
    <t>.</t>
    <phoneticPr fontId="7" type="noConversion"/>
  </si>
  <si>
    <t>浙江杭州其他</t>
    <phoneticPr fontId="7" type="noConversion"/>
  </si>
  <si>
    <t>江苏淮安其他</t>
    <phoneticPr fontId="7" type="noConversion"/>
  </si>
  <si>
    <t>江苏泰州其他</t>
    <phoneticPr fontId="7" type="noConversion"/>
  </si>
  <si>
    <t>浙江湖州其他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</si>
</sst>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$#,##0.00;\-\$#,##0.00"/>
    <numFmt numFmtId="177" formatCode="#,##0.0000_);[Red]\(#,##0.0000\)"/>
    <numFmt numFmtId="178" formatCode="\$#,##0.0000;\-\$#,##0.0000"/>
    <numFmt numFmtId="179" formatCode="&quot;US$&quot;#,##0.00;\-&quot;US$&quot;#,##0.00"/>
    <numFmt numFmtId="180" formatCode="&quot;US$&quot;#,##0.00_);[Red]\(&quot;US$&quot;#,##0.00\)"/>
  </numFmts>
  <fonts count="19" x14ac:knownFonts="1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9"/>
      <color indexed="8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2"/>
      <color theme="1"/>
      <name val="Arial"/>
      <family val="2"/>
    </font>
    <font>
      <sz val="14"/>
      <color theme="1"/>
      <name val="宋体"/>
      <family val="2"/>
      <charset val="134"/>
    </font>
    <font>
      <sz val="12"/>
      <color theme="1"/>
      <name val="宋体"/>
      <family val="2"/>
      <charset val="134"/>
    </font>
    <font>
      <sz val="10"/>
      <color indexed="8"/>
      <name val="Arial"/>
      <family val="2"/>
    </font>
    <font>
      <sz val="16"/>
      <color theme="1"/>
      <name val="Arial"/>
      <family val="2"/>
    </font>
    <font>
      <sz val="11"/>
      <color theme="1"/>
      <name val="宋体"/>
      <family val="2"/>
      <charset val="134"/>
    </font>
    <font>
      <b/>
      <sz val="1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0" fillId="0" borderId="8" xfId="0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178" fontId="5" fillId="0" borderId="1" xfId="1" applyNumberFormat="1" applyFont="1" applyBorder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8" fontId="5" fillId="0" borderId="0" xfId="1" applyNumberFormat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177" fontId="2" fillId="0" borderId="7" xfId="0" applyNumberFormat="1" applyFont="1" applyBorder="1" applyAlignment="1">
      <alignment horizontal="right" vertical="center"/>
    </xf>
    <xf numFmtId="179" fontId="10" fillId="0" borderId="1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8" fontId="5" fillId="0" borderId="14" xfId="1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0" fillId="0" borderId="12" xfId="0" applyBorder="1">
      <alignment vertical="center"/>
    </xf>
    <xf numFmtId="0" fontId="8" fillId="0" borderId="9" xfId="0" applyFont="1" applyBorder="1">
      <alignment vertical="center"/>
    </xf>
    <xf numFmtId="177" fontId="15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</cellXfs>
  <cellStyles count="3">
    <cellStyle name="常规" xfId="0" builtinId="0"/>
    <cellStyle name="常规 2" xfId="2" xr:uid="{4F8842EA-5737-431B-BE56-478D3EBCEE27}"/>
    <cellStyle name="常规 9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85166</xdr:colOff>
      <xdr:row>30</xdr:row>
      <xdr:rowOff>89087</xdr:rowOff>
    </xdr:from>
    <xdr:to>
      <xdr:col>2</xdr:col>
      <xdr:colOff>632237</xdr:colOff>
      <xdr:row>36</xdr:row>
      <xdr:rowOff>110901</xdr:rowOff>
    </xdr:to>
    <xdr:pic>
      <xdr:nvPicPr>
        <xdr:cNvPr id="2" name="图片 1" descr="KMX-报关章">
          <a:extLst>
            <a:ext uri="{FF2B5EF4-FFF2-40B4-BE49-F238E27FC236}">
              <a16:creationId xmlns:a16="http://schemas.microsoft.com/office/drawing/2014/main" id="{CF9CDDFD-E495-4960-A834-D3C9F70A8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841" y="6185087"/>
          <a:ext cx="1623396" cy="1174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abSelected="1" topLeftCell="B16" zoomScaleNormal="100" workbookViewId="0">
      <selection activeCell="N22" sqref="N22:P22"/>
    </sheetView>
  </sheetViews>
  <sheetFormatPr defaultColWidth="9" defaultRowHeight="13.5" x14ac:dyDescent="0.15"/>
  <cols>
    <col min="1" max="1" width="5.875" customWidth="1"/>
    <col min="2" max="2" width="14.125" customWidth="1"/>
    <col min="3" max="3" width="17.75" customWidth="1"/>
    <col min="4" max="4" width="9.5" customWidth="1"/>
    <col min="5" max="5" width="9" customWidth="1"/>
    <col min="6" max="7" width="10" customWidth="1"/>
    <col min="8" max="8" width="17.375" customWidth="1"/>
    <col min="9" max="9" width="19.375" customWidth="1"/>
    <col min="10" max="10" width="4.375" customWidth="1"/>
    <col min="11" max="11" width="13.125" bestFit="1" customWidth="1"/>
    <col min="12" max="12" width="7.125" customWidth="1"/>
    <col min="13" max="13" width="7.875" customWidth="1"/>
    <col min="14" max="14" width="3.875" customWidth="1"/>
    <col min="15" max="15" width="8.875" customWidth="1"/>
    <col min="16" max="16" width="6.625" customWidth="1"/>
    <col min="17" max="17" width="10.75" customWidth="1"/>
  </cols>
  <sheetData>
    <row r="1" spans="1:19" ht="39" customHeight="1" x14ac:dyDescent="0.1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S1" t="s">
        <v>1</v>
      </c>
    </row>
    <row r="2" spans="1:19" s="1" customFormat="1" ht="15" customHeight="1" x14ac:dyDescent="0.15">
      <c r="A2" s="91" t="s">
        <v>2</v>
      </c>
      <c r="B2" s="91"/>
      <c r="C2" s="54"/>
      <c r="D2" s="1" t="s">
        <v>3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19" s="2" customFormat="1" ht="15" customHeight="1" x14ac:dyDescent="0.15">
      <c r="A3" s="68" t="s">
        <v>4</v>
      </c>
      <c r="B3" s="69"/>
      <c r="C3" s="9"/>
      <c r="D3" s="5" t="s">
        <v>5</v>
      </c>
      <c r="E3" s="6"/>
      <c r="F3" s="68" t="s">
        <v>6</v>
      </c>
      <c r="G3" s="69"/>
      <c r="H3" s="69"/>
      <c r="I3" s="69"/>
      <c r="J3" s="70"/>
      <c r="K3" s="68" t="s">
        <v>7</v>
      </c>
      <c r="L3" s="69"/>
      <c r="M3" s="69"/>
      <c r="N3" s="68" t="s">
        <v>8</v>
      </c>
      <c r="O3" s="69"/>
      <c r="P3" s="69"/>
      <c r="Q3" s="70"/>
    </row>
    <row r="4" spans="1:19" ht="15" customHeight="1" x14ac:dyDescent="0.15">
      <c r="A4" s="84" t="s">
        <v>9</v>
      </c>
      <c r="B4" s="77"/>
      <c r="C4" s="75"/>
      <c r="D4" s="84"/>
      <c r="E4" s="75"/>
      <c r="F4" s="81"/>
      <c r="G4" s="82"/>
      <c r="H4" s="82"/>
      <c r="I4" s="82"/>
      <c r="J4" s="83"/>
      <c r="K4" s="81"/>
      <c r="L4" s="82"/>
      <c r="M4" s="82"/>
      <c r="N4" s="81"/>
      <c r="O4" s="82"/>
      <c r="P4" s="82"/>
      <c r="Q4" s="83"/>
    </row>
    <row r="5" spans="1:19" s="2" customFormat="1" ht="15" customHeight="1" x14ac:dyDescent="0.15">
      <c r="A5" s="93" t="s">
        <v>10</v>
      </c>
      <c r="B5" s="94"/>
      <c r="C5" s="53"/>
      <c r="D5" s="8" t="s">
        <v>11</v>
      </c>
      <c r="E5" s="9"/>
      <c r="F5" s="68" t="s">
        <v>12</v>
      </c>
      <c r="G5" s="69"/>
      <c r="H5" s="69"/>
      <c r="I5" s="69"/>
      <c r="J5" s="70"/>
      <c r="K5" s="95" t="s">
        <v>13</v>
      </c>
      <c r="L5" s="96"/>
      <c r="M5" s="96"/>
      <c r="N5" s="96"/>
      <c r="O5" s="96"/>
      <c r="P5" s="96"/>
      <c r="Q5" s="97"/>
    </row>
    <row r="6" spans="1:19" ht="15" customHeight="1" x14ac:dyDescent="0.15">
      <c r="A6" s="74" t="s">
        <v>61</v>
      </c>
      <c r="B6" s="77"/>
      <c r="C6" s="75"/>
      <c r="D6" s="78" t="s">
        <v>64</v>
      </c>
      <c r="E6" s="80"/>
      <c r="F6" s="81"/>
      <c r="G6" s="82"/>
      <c r="H6" s="82"/>
      <c r="I6" s="82"/>
      <c r="J6" s="83"/>
      <c r="K6" s="98"/>
      <c r="L6" s="99"/>
      <c r="M6" s="99"/>
      <c r="N6" s="99"/>
      <c r="O6" s="99"/>
      <c r="P6" s="99"/>
      <c r="Q6" s="100"/>
    </row>
    <row r="7" spans="1:19" s="2" customFormat="1" ht="15" customHeight="1" x14ac:dyDescent="0.15">
      <c r="A7" s="68" t="s">
        <v>14</v>
      </c>
      <c r="B7" s="69"/>
      <c r="C7" s="9"/>
      <c r="D7" s="8" t="s">
        <v>15</v>
      </c>
      <c r="E7" s="10"/>
      <c r="F7" s="68" t="s">
        <v>16</v>
      </c>
      <c r="G7" s="69"/>
      <c r="H7" s="69"/>
      <c r="I7" s="101"/>
      <c r="J7" s="102"/>
      <c r="K7" s="95" t="s">
        <v>17</v>
      </c>
      <c r="L7" s="96"/>
      <c r="M7" s="96"/>
      <c r="N7" s="96"/>
      <c r="O7" s="96"/>
      <c r="P7" s="96"/>
      <c r="Q7" s="97"/>
    </row>
    <row r="8" spans="1:19" ht="15" customHeight="1" x14ac:dyDescent="0.15">
      <c r="A8" s="84" t="s">
        <v>9</v>
      </c>
      <c r="B8" s="77"/>
      <c r="C8" s="75"/>
      <c r="D8" s="103" t="s">
        <v>18</v>
      </c>
      <c r="E8" s="89"/>
      <c r="F8" s="85"/>
      <c r="G8" s="86"/>
      <c r="H8" s="86"/>
      <c r="I8" s="86"/>
      <c r="J8" s="87"/>
      <c r="K8" s="98"/>
      <c r="L8" s="99"/>
      <c r="M8" s="99"/>
      <c r="N8" s="99"/>
      <c r="O8" s="99"/>
      <c r="P8" s="99"/>
      <c r="Q8" s="100"/>
    </row>
    <row r="9" spans="1:19" s="2" customFormat="1" ht="15" customHeight="1" x14ac:dyDescent="0.15">
      <c r="A9" s="68" t="s">
        <v>19</v>
      </c>
      <c r="B9" s="69"/>
      <c r="C9" s="53"/>
      <c r="D9" s="5" t="s">
        <v>20</v>
      </c>
      <c r="E9" s="6"/>
      <c r="F9" s="68" t="s">
        <v>21</v>
      </c>
      <c r="G9" s="69"/>
      <c r="H9" s="69"/>
      <c r="I9" s="71"/>
      <c r="J9" s="72"/>
      <c r="K9" s="7" t="s">
        <v>22</v>
      </c>
      <c r="L9" s="71"/>
      <c r="M9" s="72"/>
      <c r="N9" s="68" t="s">
        <v>23</v>
      </c>
      <c r="O9" s="69"/>
      <c r="P9" s="71"/>
      <c r="Q9" s="72"/>
    </row>
    <row r="10" spans="1:19" ht="15" customHeight="1" x14ac:dyDescent="0.15">
      <c r="A10" s="73" t="s">
        <v>69</v>
      </c>
      <c r="B10" s="73"/>
      <c r="C10" s="73"/>
      <c r="D10" s="74" t="s">
        <v>65</v>
      </c>
      <c r="E10" s="75"/>
      <c r="F10" s="74" t="s">
        <v>62</v>
      </c>
      <c r="G10" s="76"/>
      <c r="H10" s="77"/>
      <c r="I10" s="77"/>
      <c r="J10" s="75"/>
      <c r="K10" s="78" t="s">
        <v>63</v>
      </c>
      <c r="L10" s="79"/>
      <c r="M10" s="80"/>
      <c r="N10" s="81"/>
      <c r="O10" s="82"/>
      <c r="P10" s="82"/>
      <c r="Q10" s="83"/>
    </row>
    <row r="11" spans="1:19" s="2" customFormat="1" ht="15" customHeight="1" x14ac:dyDescent="0.15">
      <c r="A11" s="68" t="s">
        <v>24</v>
      </c>
      <c r="B11" s="69"/>
      <c r="C11" s="53"/>
      <c r="D11" s="11" t="s">
        <v>25</v>
      </c>
      <c r="E11" s="11" t="s">
        <v>26</v>
      </c>
      <c r="F11" s="68" t="s">
        <v>27</v>
      </c>
      <c r="G11" s="69"/>
      <c r="H11" s="70"/>
      <c r="I11" s="8" t="s">
        <v>28</v>
      </c>
      <c r="J11" s="9"/>
      <c r="K11" s="68" t="s">
        <v>29</v>
      </c>
      <c r="L11" s="69"/>
      <c r="M11" s="68" t="s">
        <v>30</v>
      </c>
      <c r="N11" s="69"/>
      <c r="O11" s="70"/>
      <c r="P11" s="68" t="s">
        <v>31</v>
      </c>
      <c r="Q11" s="70"/>
    </row>
    <row r="12" spans="1:19" ht="15" customHeight="1" x14ac:dyDescent="0.15">
      <c r="A12" s="84" t="s">
        <v>32</v>
      </c>
      <c r="B12" s="77"/>
      <c r="C12" s="75"/>
      <c r="D12" s="12">
        <v>1291</v>
      </c>
      <c r="E12" s="12">
        <v>11693.9</v>
      </c>
      <c r="F12" s="84">
        <v>10253.9</v>
      </c>
      <c r="G12" s="77"/>
      <c r="H12" s="75"/>
      <c r="I12" s="24" t="s">
        <v>66</v>
      </c>
      <c r="J12" s="21"/>
      <c r="K12" s="74" t="s">
        <v>88</v>
      </c>
      <c r="L12" s="77"/>
      <c r="M12" s="74" t="s">
        <v>89</v>
      </c>
      <c r="N12" s="77"/>
      <c r="O12" s="75"/>
      <c r="P12" s="81"/>
      <c r="Q12" s="83"/>
    </row>
    <row r="13" spans="1:19" s="2" customFormat="1" ht="15" customHeight="1" x14ac:dyDescent="0.15">
      <c r="A13" s="68" t="s">
        <v>33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0"/>
    </row>
    <row r="14" spans="1:19" s="3" customFormat="1" ht="15" customHeight="1" x14ac:dyDescent="0.15">
      <c r="A14" s="103" t="s">
        <v>34</v>
      </c>
      <c r="B14" s="88"/>
      <c r="C14" s="88"/>
      <c r="D14" s="88"/>
      <c r="E14" s="88"/>
      <c r="F14" s="88"/>
      <c r="G14" s="25"/>
      <c r="H14" s="88" t="s">
        <v>35</v>
      </c>
      <c r="I14" s="88"/>
      <c r="J14" s="88"/>
      <c r="K14" s="88"/>
      <c r="L14" s="88"/>
      <c r="M14" s="88"/>
      <c r="N14" s="88"/>
      <c r="O14" s="88"/>
      <c r="P14" s="88"/>
      <c r="Q14" s="89"/>
    </row>
    <row r="15" spans="1:19" s="2" customFormat="1" ht="15" customHeight="1" x14ac:dyDescent="0.15">
      <c r="A15" s="5" t="s">
        <v>36</v>
      </c>
      <c r="B15" s="13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2"/>
    </row>
    <row r="16" spans="1:19" ht="16.5" customHeight="1" x14ac:dyDescent="0.15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</row>
    <row r="17" spans="1:17" s="4" customFormat="1" ht="18.75" customHeight="1" x14ac:dyDescent="0.15">
      <c r="A17" s="14" t="s">
        <v>37</v>
      </c>
      <c r="B17" s="15" t="s">
        <v>38</v>
      </c>
      <c r="C17" s="104" t="s">
        <v>39</v>
      </c>
      <c r="D17" s="104"/>
      <c r="E17" s="104"/>
      <c r="F17" s="104" t="s">
        <v>40</v>
      </c>
      <c r="G17" s="105"/>
      <c r="H17" s="111" t="s">
        <v>41</v>
      </c>
      <c r="I17" s="104"/>
      <c r="J17" s="105"/>
      <c r="K17" s="15" t="s">
        <v>42</v>
      </c>
      <c r="L17" s="104" t="s">
        <v>43</v>
      </c>
      <c r="M17" s="104"/>
      <c r="N17" s="104" t="s">
        <v>44</v>
      </c>
      <c r="O17" s="104"/>
      <c r="P17" s="104"/>
      <c r="Q17" s="22" t="s">
        <v>45</v>
      </c>
    </row>
    <row r="18" spans="1:17" ht="22.5" customHeight="1" x14ac:dyDescent="0.15">
      <c r="A18" s="16">
        <v>1</v>
      </c>
      <c r="B18" s="55">
        <v>6307901090</v>
      </c>
      <c r="C18" s="106" t="s">
        <v>70</v>
      </c>
      <c r="D18" s="107"/>
      <c r="E18" s="108"/>
      <c r="F18" s="55">
        <v>700000</v>
      </c>
      <c r="G18" s="56" t="s">
        <v>67</v>
      </c>
      <c r="H18" s="63">
        <f>I18/F18</f>
        <v>1.3511814285714286E-2</v>
      </c>
      <c r="I18" s="52">
        <v>9458.27</v>
      </c>
      <c r="J18" s="51" t="s">
        <v>46</v>
      </c>
      <c r="K18" s="17" t="s">
        <v>47</v>
      </c>
      <c r="L18" s="109" t="s">
        <v>62</v>
      </c>
      <c r="M18" s="110"/>
      <c r="N18" s="109" t="s">
        <v>90</v>
      </c>
      <c r="O18" s="110"/>
      <c r="P18" s="110"/>
      <c r="Q18" s="23" t="s">
        <v>48</v>
      </c>
    </row>
    <row r="19" spans="1:17" ht="22.5" customHeight="1" x14ac:dyDescent="0.15">
      <c r="A19" s="16">
        <v>2</v>
      </c>
      <c r="B19" s="55">
        <v>3006910000</v>
      </c>
      <c r="C19" s="106" t="s">
        <v>71</v>
      </c>
      <c r="D19" s="107" t="s">
        <v>71</v>
      </c>
      <c r="E19" s="108" t="s">
        <v>71</v>
      </c>
      <c r="F19" s="64">
        <v>825</v>
      </c>
      <c r="G19" s="65" t="s">
        <v>68</v>
      </c>
      <c r="H19" s="63">
        <f t="shared" ref="H19:H29" si="0">I19/F19</f>
        <v>19.785139393939392</v>
      </c>
      <c r="I19" s="52">
        <v>16322.74</v>
      </c>
      <c r="J19" s="51" t="s">
        <v>46</v>
      </c>
      <c r="K19" s="17" t="s">
        <v>47</v>
      </c>
      <c r="L19" s="109" t="s">
        <v>62</v>
      </c>
      <c r="M19" s="110"/>
      <c r="N19" s="109" t="s">
        <v>100</v>
      </c>
      <c r="O19" s="110"/>
      <c r="P19" s="110"/>
      <c r="Q19" s="23" t="s">
        <v>48</v>
      </c>
    </row>
    <row r="20" spans="1:17" ht="22.5" customHeight="1" x14ac:dyDescent="0.15">
      <c r="A20" s="16">
        <v>3</v>
      </c>
      <c r="B20" s="55">
        <v>9018322000</v>
      </c>
      <c r="C20" s="106" t="s">
        <v>72</v>
      </c>
      <c r="D20" s="107" t="s">
        <v>72</v>
      </c>
      <c r="E20" s="108" t="s">
        <v>72</v>
      </c>
      <c r="F20" s="66">
        <v>106.2</v>
      </c>
      <c r="G20" s="65" t="s">
        <v>81</v>
      </c>
      <c r="H20" s="63">
        <f t="shared" si="0"/>
        <v>65.754237288135599</v>
      </c>
      <c r="I20" s="52">
        <v>6983.1</v>
      </c>
      <c r="J20" s="51" t="s">
        <v>46</v>
      </c>
      <c r="K20" s="17" t="s">
        <v>47</v>
      </c>
      <c r="L20" s="109" t="s">
        <v>62</v>
      </c>
      <c r="M20" s="110"/>
      <c r="N20" s="109" t="s">
        <v>98</v>
      </c>
      <c r="O20" s="110"/>
      <c r="P20" s="110"/>
      <c r="Q20" s="23" t="s">
        <v>48</v>
      </c>
    </row>
    <row r="21" spans="1:17" ht="22.5" customHeight="1" x14ac:dyDescent="0.15">
      <c r="A21" s="16">
        <v>4</v>
      </c>
      <c r="B21" s="55">
        <v>9018322000</v>
      </c>
      <c r="C21" s="106" t="s">
        <v>72</v>
      </c>
      <c r="D21" s="107" t="s">
        <v>72</v>
      </c>
      <c r="E21" s="108" t="s">
        <v>72</v>
      </c>
      <c r="F21" s="66">
        <v>66.3</v>
      </c>
      <c r="G21" s="65" t="s">
        <v>81</v>
      </c>
      <c r="H21" s="63">
        <f t="shared" si="0"/>
        <v>60.529110105580692</v>
      </c>
      <c r="I21" s="52">
        <v>4013.08</v>
      </c>
      <c r="J21" s="51" t="s">
        <v>46</v>
      </c>
      <c r="K21" s="17" t="s">
        <v>47</v>
      </c>
      <c r="L21" s="109" t="s">
        <v>62</v>
      </c>
      <c r="M21" s="110"/>
      <c r="N21" s="109" t="s">
        <v>98</v>
      </c>
      <c r="O21" s="110"/>
      <c r="P21" s="110"/>
      <c r="Q21" s="23" t="s">
        <v>48</v>
      </c>
    </row>
    <row r="22" spans="1:17" ht="22.5" customHeight="1" x14ac:dyDescent="0.15">
      <c r="A22" s="16">
        <v>5</v>
      </c>
      <c r="B22" s="55">
        <v>3005901000</v>
      </c>
      <c r="C22" s="106" t="s">
        <v>73</v>
      </c>
      <c r="D22" s="107" t="s">
        <v>73</v>
      </c>
      <c r="E22" s="108" t="s">
        <v>73</v>
      </c>
      <c r="F22" s="67">
        <v>140</v>
      </c>
      <c r="G22" s="65" t="s">
        <v>82</v>
      </c>
      <c r="H22" s="63">
        <f t="shared" si="0"/>
        <v>7.3484285714285713</v>
      </c>
      <c r="I22" s="52">
        <v>1028.78</v>
      </c>
      <c r="J22" s="51" t="s">
        <v>46</v>
      </c>
      <c r="K22" s="17" t="s">
        <v>47</v>
      </c>
      <c r="L22" s="109" t="s">
        <v>62</v>
      </c>
      <c r="M22" s="110"/>
      <c r="N22" s="109" t="s">
        <v>99</v>
      </c>
      <c r="O22" s="110"/>
      <c r="P22" s="110"/>
      <c r="Q22" s="23" t="s">
        <v>48</v>
      </c>
    </row>
    <row r="23" spans="1:17" ht="22.5" customHeight="1" x14ac:dyDescent="0.15">
      <c r="A23" s="16">
        <v>6</v>
      </c>
      <c r="B23" s="55">
        <v>3005901000</v>
      </c>
      <c r="C23" s="106" t="s">
        <v>74</v>
      </c>
      <c r="D23" s="107" t="s">
        <v>74</v>
      </c>
      <c r="E23" s="108" t="s">
        <v>74</v>
      </c>
      <c r="F23" s="65">
        <v>30060</v>
      </c>
      <c r="G23" s="65" t="s">
        <v>83</v>
      </c>
      <c r="H23" s="63">
        <f t="shared" si="0"/>
        <v>0.21133466400532269</v>
      </c>
      <c r="I23" s="52">
        <v>6352.72</v>
      </c>
      <c r="J23" s="51" t="s">
        <v>46</v>
      </c>
      <c r="K23" s="17" t="s">
        <v>47</v>
      </c>
      <c r="L23" s="109" t="s">
        <v>62</v>
      </c>
      <c r="M23" s="110"/>
      <c r="N23" s="109" t="s">
        <v>97</v>
      </c>
      <c r="O23" s="110"/>
      <c r="P23" s="110"/>
      <c r="Q23" s="23" t="s">
        <v>48</v>
      </c>
    </row>
    <row r="24" spans="1:17" ht="20.25" customHeight="1" x14ac:dyDescent="0.15">
      <c r="A24" s="16">
        <v>7</v>
      </c>
      <c r="B24" s="55">
        <v>9018390000</v>
      </c>
      <c r="C24" s="106" t="s">
        <v>75</v>
      </c>
      <c r="D24" s="107" t="s">
        <v>75</v>
      </c>
      <c r="E24" s="108" t="s">
        <v>75</v>
      </c>
      <c r="F24" s="65">
        <v>21500</v>
      </c>
      <c r="G24" s="65" t="s">
        <v>67</v>
      </c>
      <c r="H24" s="63">
        <f t="shared" si="0"/>
        <v>0.27384139534883722</v>
      </c>
      <c r="I24" s="52">
        <v>5887.59</v>
      </c>
      <c r="J24" s="51" t="s">
        <v>46</v>
      </c>
      <c r="K24" s="17" t="s">
        <v>47</v>
      </c>
      <c r="L24" s="109" t="s">
        <v>62</v>
      </c>
      <c r="M24" s="110"/>
      <c r="N24" s="109" t="s">
        <v>92</v>
      </c>
      <c r="O24" s="110"/>
      <c r="P24" s="110"/>
      <c r="Q24" s="23" t="str">
        <f>Q19</f>
        <v>照章征税</v>
      </c>
    </row>
    <row r="25" spans="1:17" ht="20.25" customHeight="1" x14ac:dyDescent="0.15">
      <c r="A25" s="16">
        <v>8</v>
      </c>
      <c r="B25" s="55">
        <v>8211940000</v>
      </c>
      <c r="C25" s="106" t="s">
        <v>76</v>
      </c>
      <c r="D25" s="107" t="s">
        <v>76</v>
      </c>
      <c r="E25" s="108" t="s">
        <v>76</v>
      </c>
      <c r="F25" s="65">
        <v>200000</v>
      </c>
      <c r="G25" s="65" t="s">
        <v>84</v>
      </c>
      <c r="H25" s="63">
        <f t="shared" si="0"/>
        <v>1.9775299999999999E-2</v>
      </c>
      <c r="I25" s="52">
        <v>3955.06</v>
      </c>
      <c r="J25" s="51" t="s">
        <v>46</v>
      </c>
      <c r="K25" s="17" t="s">
        <v>47</v>
      </c>
      <c r="L25" s="109" t="s">
        <v>62</v>
      </c>
      <c r="M25" s="110"/>
      <c r="N25" s="109" t="s">
        <v>98</v>
      </c>
      <c r="O25" s="110"/>
      <c r="P25" s="110"/>
      <c r="Q25" s="23" t="s">
        <v>48</v>
      </c>
    </row>
    <row r="26" spans="1:17" ht="20.25" x14ac:dyDescent="0.15">
      <c r="A26" s="16">
        <v>9</v>
      </c>
      <c r="B26" s="55">
        <v>8208400000</v>
      </c>
      <c r="C26" s="106" t="s">
        <v>77</v>
      </c>
      <c r="D26" s="107" t="s">
        <v>77</v>
      </c>
      <c r="E26" s="108" t="s">
        <v>77</v>
      </c>
      <c r="F26" s="65">
        <v>70</v>
      </c>
      <c r="G26" s="65" t="s">
        <v>85</v>
      </c>
      <c r="H26" s="63">
        <f t="shared" si="0"/>
        <v>74.685714285714283</v>
      </c>
      <c r="I26" s="52">
        <v>5228</v>
      </c>
      <c r="J26" s="51" t="s">
        <v>46</v>
      </c>
      <c r="K26" s="17" t="s">
        <v>47</v>
      </c>
      <c r="L26" s="109" t="s">
        <v>62</v>
      </c>
      <c r="M26" s="110"/>
      <c r="N26" s="109" t="s">
        <v>91</v>
      </c>
      <c r="O26" s="110"/>
      <c r="P26" s="110"/>
      <c r="Q26" s="23" t="s">
        <v>48</v>
      </c>
    </row>
    <row r="27" spans="1:17" ht="20.25" x14ac:dyDescent="0.15">
      <c r="A27" s="16">
        <v>10</v>
      </c>
      <c r="B27" s="55">
        <v>9018909999</v>
      </c>
      <c r="C27" s="106" t="s">
        <v>78</v>
      </c>
      <c r="D27" s="107" t="s">
        <v>78</v>
      </c>
      <c r="E27" s="108" t="s">
        <v>78</v>
      </c>
      <c r="F27" s="66">
        <v>150000</v>
      </c>
      <c r="G27" s="65" t="s">
        <v>86</v>
      </c>
      <c r="H27" s="63">
        <f t="shared" si="0"/>
        <v>3.7800400000000005E-2</v>
      </c>
      <c r="I27" s="52">
        <v>5670.06</v>
      </c>
      <c r="J27" s="51" t="s">
        <v>46</v>
      </c>
      <c r="K27" s="17" t="s">
        <v>47</v>
      </c>
      <c r="L27" s="109" t="s">
        <v>62</v>
      </c>
      <c r="M27" s="110"/>
      <c r="N27" s="109" t="s">
        <v>93</v>
      </c>
      <c r="O27" s="110"/>
      <c r="P27" s="110"/>
      <c r="Q27" s="23" t="s">
        <v>48</v>
      </c>
    </row>
    <row r="28" spans="1:17" ht="20.25" customHeight="1" x14ac:dyDescent="0.15">
      <c r="A28" s="16">
        <v>11</v>
      </c>
      <c r="B28" s="55">
        <v>3005901000</v>
      </c>
      <c r="C28" s="106" t="s">
        <v>79</v>
      </c>
      <c r="D28" s="107" t="s">
        <v>79</v>
      </c>
      <c r="E28" s="108" t="s">
        <v>79</v>
      </c>
      <c r="F28" s="65">
        <v>4500</v>
      </c>
      <c r="G28" s="65" t="s">
        <v>68</v>
      </c>
      <c r="H28" s="63">
        <f t="shared" si="0"/>
        <v>3.2464333333333335</v>
      </c>
      <c r="I28" s="52">
        <v>14608.95</v>
      </c>
      <c r="J28" s="51" t="s">
        <v>46</v>
      </c>
      <c r="K28" s="17" t="s">
        <v>47</v>
      </c>
      <c r="L28" s="109" t="s">
        <v>62</v>
      </c>
      <c r="M28" s="110"/>
      <c r="N28" s="109" t="s">
        <v>94</v>
      </c>
      <c r="O28" s="110"/>
      <c r="P28" s="110"/>
      <c r="Q28" s="23" t="s">
        <v>48</v>
      </c>
    </row>
    <row r="29" spans="1:17" ht="20.25" x14ac:dyDescent="0.15">
      <c r="A29" s="16">
        <v>12</v>
      </c>
      <c r="B29" s="55">
        <v>9018390000</v>
      </c>
      <c r="C29" s="106" t="s">
        <v>80</v>
      </c>
      <c r="D29" s="107" t="s">
        <v>80</v>
      </c>
      <c r="E29" s="108" t="s">
        <v>80</v>
      </c>
      <c r="F29" s="66">
        <v>20000</v>
      </c>
      <c r="G29" s="65" t="s">
        <v>87</v>
      </c>
      <c r="H29" s="63">
        <f t="shared" si="0"/>
        <v>9.5601499999999992E-2</v>
      </c>
      <c r="I29" s="52">
        <v>1912.03</v>
      </c>
      <c r="J29" s="51" t="s">
        <v>46</v>
      </c>
      <c r="K29" s="17" t="s">
        <v>47</v>
      </c>
      <c r="L29" s="109" t="s">
        <v>62</v>
      </c>
      <c r="M29" s="110"/>
      <c r="N29" s="109" t="s">
        <v>95</v>
      </c>
      <c r="O29" s="110"/>
      <c r="P29" s="110"/>
      <c r="Q29" s="23" t="s">
        <v>48</v>
      </c>
    </row>
    <row r="30" spans="1:17" ht="18" customHeight="1" x14ac:dyDescent="0.15">
      <c r="A30" s="57"/>
      <c r="B30" s="57"/>
      <c r="C30" s="121"/>
      <c r="D30" s="121"/>
      <c r="E30" s="121"/>
      <c r="F30" s="62"/>
      <c r="G30" s="61"/>
      <c r="H30" s="58"/>
      <c r="I30" s="52" t="s">
        <v>96</v>
      </c>
      <c r="J30" s="59"/>
      <c r="K30" s="60"/>
      <c r="L30" s="119"/>
      <c r="M30" s="120"/>
      <c r="N30" s="119"/>
      <c r="O30" s="119"/>
      <c r="P30" s="119"/>
      <c r="Q30" s="60"/>
    </row>
    <row r="31" spans="1:17" x14ac:dyDescent="0.15">
      <c r="A31" s="29"/>
      <c r="B31" s="42"/>
      <c r="C31" s="43"/>
      <c r="D31" s="43"/>
      <c r="E31" s="43"/>
      <c r="G31" s="44"/>
      <c r="H31" s="45"/>
      <c r="I31" s="46"/>
      <c r="J31" s="47"/>
      <c r="K31" s="48"/>
      <c r="L31" s="43"/>
      <c r="M31" s="42"/>
      <c r="N31" s="43"/>
      <c r="O31" s="42"/>
      <c r="P31" s="42"/>
      <c r="Q31" s="49"/>
    </row>
    <row r="32" spans="1:17" x14ac:dyDescent="0.15">
      <c r="A32" s="28"/>
      <c r="B32" s="27"/>
      <c r="C32" s="35"/>
      <c r="D32" s="35"/>
      <c r="E32" s="35"/>
      <c r="F32" s="36"/>
      <c r="G32" s="37"/>
      <c r="H32" s="38"/>
      <c r="I32" s="39"/>
      <c r="J32" s="40"/>
      <c r="K32" s="41"/>
      <c r="L32" s="35"/>
      <c r="M32" s="27"/>
      <c r="N32" s="35"/>
      <c r="O32" s="27"/>
      <c r="P32" s="27"/>
      <c r="Q32" s="50"/>
    </row>
    <row r="33" spans="1:17" s="2" customFormat="1" ht="16.5" customHeight="1" x14ac:dyDescent="0.15">
      <c r="A33" s="30"/>
      <c r="B33" s="31"/>
      <c r="C33" s="32" t="s">
        <v>49</v>
      </c>
      <c r="D33" s="33" t="s">
        <v>50</v>
      </c>
      <c r="E33" s="31"/>
      <c r="F33" s="31" t="s">
        <v>51</v>
      </c>
      <c r="G33" s="31"/>
      <c r="H33" s="33" t="s">
        <v>50</v>
      </c>
      <c r="I33" s="31"/>
      <c r="J33" s="122" t="s">
        <v>52</v>
      </c>
      <c r="K33" s="122"/>
      <c r="L33" s="122"/>
      <c r="M33" s="33" t="s">
        <v>50</v>
      </c>
      <c r="N33" s="31"/>
      <c r="O33" s="122" t="s">
        <v>53</v>
      </c>
      <c r="P33" s="122"/>
      <c r="Q33" s="34" t="s">
        <v>54</v>
      </c>
    </row>
    <row r="34" spans="1:17" ht="15.75" customHeight="1" x14ac:dyDescent="0.15">
      <c r="A34" s="68" t="s">
        <v>55</v>
      </c>
      <c r="B34" s="69"/>
      <c r="C34" s="69"/>
      <c r="D34" s="69"/>
      <c r="E34" s="69"/>
      <c r="F34" s="69" t="s">
        <v>56</v>
      </c>
      <c r="G34" s="69"/>
      <c r="H34" s="69"/>
      <c r="I34" s="69"/>
      <c r="J34" s="69"/>
      <c r="K34" s="69"/>
      <c r="L34" s="70"/>
      <c r="M34" s="68" t="s">
        <v>57</v>
      </c>
      <c r="N34" s="69"/>
      <c r="O34" s="69"/>
      <c r="P34" s="69"/>
      <c r="Q34" s="70"/>
    </row>
    <row r="35" spans="1:17" ht="15.75" customHeight="1" x14ac:dyDescent="0.1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16"/>
      <c r="N35" s="117"/>
      <c r="O35" s="117"/>
      <c r="P35" s="117"/>
      <c r="Q35" s="118"/>
    </row>
    <row r="36" spans="1:17" ht="15.75" customHeight="1" x14ac:dyDescent="0.15">
      <c r="A36" s="113" t="s">
        <v>58</v>
      </c>
      <c r="B36" s="114"/>
      <c r="C36" s="115"/>
      <c r="D36" s="115"/>
      <c r="E36" s="115"/>
      <c r="F36" s="115"/>
      <c r="G36" s="26"/>
      <c r="H36" s="20"/>
      <c r="I36" s="20"/>
      <c r="J36" s="115" t="s">
        <v>59</v>
      </c>
      <c r="K36" s="115"/>
      <c r="L36" s="20"/>
      <c r="M36" s="81"/>
      <c r="N36" s="82"/>
      <c r="O36" s="82"/>
      <c r="P36" s="82"/>
      <c r="Q36" s="83"/>
    </row>
    <row r="37" spans="1:17" ht="16.5" customHeight="1" x14ac:dyDescent="0.15">
      <c r="A37" s="112" t="s">
        <v>60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</row>
  </sheetData>
  <mergeCells count="106">
    <mergeCell ref="A37:Q37"/>
    <mergeCell ref="C28:E28"/>
    <mergeCell ref="C29:E29"/>
    <mergeCell ref="L25:M25"/>
    <mergeCell ref="N25:P25"/>
    <mergeCell ref="A36:B36"/>
    <mergeCell ref="C36:F36"/>
    <mergeCell ref="J36:K36"/>
    <mergeCell ref="M35:Q36"/>
    <mergeCell ref="N27:P27"/>
    <mergeCell ref="A34:E34"/>
    <mergeCell ref="F34:L34"/>
    <mergeCell ref="M34:Q34"/>
    <mergeCell ref="C27:E27"/>
    <mergeCell ref="L27:M27"/>
    <mergeCell ref="L30:M30"/>
    <mergeCell ref="N30:P30"/>
    <mergeCell ref="C30:E30"/>
    <mergeCell ref="J33:L33"/>
    <mergeCell ref="O33:P33"/>
    <mergeCell ref="L28:M28"/>
    <mergeCell ref="N28:P28"/>
    <mergeCell ref="L29:M29"/>
    <mergeCell ref="N29:P29"/>
    <mergeCell ref="N24:P24"/>
    <mergeCell ref="L19:M19"/>
    <mergeCell ref="C23:E23"/>
    <mergeCell ref="L23:M23"/>
    <mergeCell ref="N23:P23"/>
    <mergeCell ref="C20:E20"/>
    <mergeCell ref="C21:E21"/>
    <mergeCell ref="L20:M20"/>
    <mergeCell ref="N20:P20"/>
    <mergeCell ref="L21:M21"/>
    <mergeCell ref="N21:P21"/>
    <mergeCell ref="C24:E24"/>
    <mergeCell ref="A7:B7"/>
    <mergeCell ref="F17:G17"/>
    <mergeCell ref="C26:E26"/>
    <mergeCell ref="L26:M26"/>
    <mergeCell ref="C18:E18"/>
    <mergeCell ref="L18:M18"/>
    <mergeCell ref="C19:E19"/>
    <mergeCell ref="L24:M24"/>
    <mergeCell ref="C15:Q15"/>
    <mergeCell ref="A12:C12"/>
    <mergeCell ref="N19:P19"/>
    <mergeCell ref="C22:E22"/>
    <mergeCell ref="L22:M22"/>
    <mergeCell ref="N22:P22"/>
    <mergeCell ref="N18:P18"/>
    <mergeCell ref="K7:Q8"/>
    <mergeCell ref="N26:P26"/>
    <mergeCell ref="A16:Q16"/>
    <mergeCell ref="C17:E17"/>
    <mergeCell ref="H17:J17"/>
    <mergeCell ref="L17:M17"/>
    <mergeCell ref="N17:P17"/>
    <mergeCell ref="C25:E25"/>
    <mergeCell ref="A14:F14"/>
    <mergeCell ref="H14:Q14"/>
    <mergeCell ref="A1:Q1"/>
    <mergeCell ref="A2:B2"/>
    <mergeCell ref="E2:J2"/>
    <mergeCell ref="K2:Q2"/>
    <mergeCell ref="A3:B3"/>
    <mergeCell ref="F3:J3"/>
    <mergeCell ref="K3:M3"/>
    <mergeCell ref="N3:Q3"/>
    <mergeCell ref="N4:Q4"/>
    <mergeCell ref="A5:B5"/>
    <mergeCell ref="F5:J5"/>
    <mergeCell ref="A6:C6"/>
    <mergeCell ref="D6:E6"/>
    <mergeCell ref="F6:J6"/>
    <mergeCell ref="K5:Q6"/>
    <mergeCell ref="A4:C4"/>
    <mergeCell ref="D4:E4"/>
    <mergeCell ref="F4:J4"/>
    <mergeCell ref="K4:M4"/>
    <mergeCell ref="F7:H7"/>
    <mergeCell ref="I7:J7"/>
    <mergeCell ref="A8:C8"/>
    <mergeCell ref="D8:E8"/>
    <mergeCell ref="F8:J8"/>
    <mergeCell ref="A11:B11"/>
    <mergeCell ref="F11:H11"/>
    <mergeCell ref="K11:L11"/>
    <mergeCell ref="M11:O11"/>
    <mergeCell ref="P11:Q11"/>
    <mergeCell ref="A9:B9"/>
    <mergeCell ref="F9:H9"/>
    <mergeCell ref="I9:J9"/>
    <mergeCell ref="A13:Q13"/>
    <mergeCell ref="L9:M9"/>
    <mergeCell ref="N9:O9"/>
    <mergeCell ref="P9:Q9"/>
    <mergeCell ref="A10:C10"/>
    <mergeCell ref="D10:E10"/>
    <mergeCell ref="F10:J10"/>
    <mergeCell ref="K10:M10"/>
    <mergeCell ref="N10:Q10"/>
    <mergeCell ref="F12:H12"/>
    <mergeCell ref="K12:L12"/>
    <mergeCell ref="M12:O12"/>
    <mergeCell ref="P12:Q12"/>
  </mergeCells>
  <phoneticPr fontId="7" type="noConversion"/>
  <printOptions horizontalCentered="1"/>
  <pageMargins left="3.8888888888888903E-2" right="3.8888888888888903E-2" top="0" bottom="0" header="0.118055555555556" footer="0.118055555555556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出口报关单</vt:lpstr>
      <vt:lpstr>出口报关单!Print_Area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songru li</cp:lastModifiedBy>
  <cp:lastPrinted>2020-10-27T05:40:20Z</cp:lastPrinted>
  <dcterms:created xsi:type="dcterms:W3CDTF">2018-06-25T01:50:00Z</dcterms:created>
  <dcterms:modified xsi:type="dcterms:W3CDTF">2025-01-23T05:43:05Z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